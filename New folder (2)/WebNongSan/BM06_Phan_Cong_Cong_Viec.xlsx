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1" autoFilterDateGrouping="1"/>
  </bookViews>
  <sheets>
    <sheet xmlns:r="http://schemas.openxmlformats.org/officeDocument/2006/relationships" name="Phân công công việc" sheetId="1" state="visible" r:id="rId1"/>
    <sheet xmlns:r="http://schemas.openxmlformats.org/officeDocument/2006/relationships" name="Khối lượng thành viên" sheetId="2" state="visible" r:id="rId2"/>
    <sheet xmlns:r="http://schemas.openxmlformats.org/officeDocument/2006/relationships" name="Theo dõi tiến độ" sheetId="3" state="visible" r:id="rId3"/>
    <sheet xmlns:r="http://schemas.openxmlformats.org/officeDocument/2006/relationships" name="Hướng dẫn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1F4E79"/>
      <sz val="18"/>
    </font>
    <font>
      <name val="Arial"/>
      <charset val="1"/>
      <b val="1"/>
      <sz val="10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E67E22"/>
      <sz val="12"/>
    </font>
    <font>
      <name val="Arial"/>
      <charset val="1"/>
      <b val="1"/>
      <color rgb="FF1F4E79"/>
      <sz val="16"/>
    </font>
    <font>
      <name val="Arial"/>
      <charset val="1"/>
      <i val="1"/>
      <color rgb="FFE67E22"/>
      <sz val="10"/>
    </font>
  </fonts>
  <fills count="5">
    <fill>
      <patternFill/>
    </fill>
    <fill>
      <patternFill patternType="gray125"/>
    </fill>
    <fill>
      <patternFill patternType="solid">
        <fgColor rgb="FFD6EAF8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9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zoomScale="85" zoomScaleNormal="85" workbookViewId="0">
      <selection activeCell="H24" sqref="H24"/>
    </sheetView>
  </sheetViews>
  <sheetFormatPr baseColWidth="8" defaultColWidth="8.6640625" defaultRowHeight="14.4"/>
  <cols>
    <col width="17.5546875" bestFit="1" customWidth="1" style="24" min="1" max="1"/>
    <col width="35" customWidth="1" style="24" min="2" max="2"/>
    <col width="30" customWidth="1" style="24" min="3" max="3"/>
    <col width="18" customWidth="1" style="24" min="4" max="4"/>
    <col width="12" customWidth="1" style="24" min="5" max="6"/>
    <col width="14" customWidth="1" style="24" min="7" max="9"/>
    <col width="20" customWidth="1" style="24" min="10" max="10"/>
  </cols>
  <sheetData>
    <row r="1" ht="22.05" customHeight="1" s="24">
      <c r="A1" s="21" t="inlineStr">
        <is>
          <t>BẢNG PHÂN CÔNG CÔNG VIỆC NHÓM</t>
        </is>
      </c>
    </row>
    <row r="3">
      <c r="A3" s="23" t="inlineStr">
        <is>
          <t>Tên dự án:</t>
        </is>
      </c>
      <c r="B3" s="22" t="inlineStr">
        <is>
          <t>Web bán hàng nông sản</t>
        </is>
      </c>
      <c r="C3" s="28" t="n"/>
      <c r="D3" s="22" t="n"/>
      <c r="E3" s="23" t="inlineStr">
        <is>
          <t>Sprint:</t>
        </is>
      </c>
      <c r="F3" s="28" t="n"/>
      <c r="H3" t="inlineStr">
        <is>
          <t>Sprint 2</t>
        </is>
      </c>
    </row>
    <row r="4">
      <c r="A4" s="23" t="inlineStr">
        <is>
          <t>Ngày bắt đầu:</t>
        </is>
      </c>
      <c r="B4" s="22" t="inlineStr">
        <is>
          <t>17/03/2026</t>
        </is>
      </c>
      <c r="C4" s="28" t="n"/>
      <c r="D4" s="22" t="n"/>
      <c r="E4" s="23" t="inlineStr">
        <is>
          <t>Trưởng nhóm:</t>
        </is>
      </c>
      <c r="F4" s="28" t="n"/>
      <c r="H4" t="inlineStr">
        <is>
          <t>Văn Phú Đại</t>
        </is>
      </c>
    </row>
    <row r="6" ht="27.6" customHeight="1" s="24">
      <c r="A6" s="3" t="inlineStr">
        <is>
          <t>#</t>
        </is>
      </c>
      <c r="B6" s="3" t="inlineStr">
        <is>
          <t>Công việc / User Story</t>
        </is>
      </c>
      <c r="C6" s="3" t="inlineStr">
        <is>
          <t>Mô tả chi tiết</t>
        </is>
      </c>
      <c r="D6" s="3" t="inlineStr">
        <is>
          <t>Người thực hiện</t>
        </is>
      </c>
      <c r="E6" s="3" t="inlineStr">
        <is>
          <t>Ưu tiên</t>
        </is>
      </c>
      <c r="F6" s="3" t="inlineStr">
        <is>
          <t>Story Points</t>
        </is>
      </c>
      <c r="G6" s="3" t="inlineStr">
        <is>
          <t>Ngày bắt đầu</t>
        </is>
      </c>
      <c r="H6" s="3" t="inlineStr">
        <is>
          <t>Hạn hoàn thành</t>
        </is>
      </c>
      <c r="I6" s="3" t="inlineStr">
        <is>
          <t>Trạng thái</t>
        </is>
      </c>
      <c r="J6" s="3" t="inlineStr">
        <is>
          <t>Ghi chú</t>
        </is>
      </c>
    </row>
    <row r="7">
      <c r="A7" s="4" t="n">
        <v>1</v>
      </c>
      <c r="B7" s="5" t="inlineStr">
        <is>
          <t>Auth đa vai trò + bảo vệ route admin</t>
        </is>
      </c>
      <c r="C7" s="5" t="inlineStr">
        <is>
          <t>Chuẩn hóa đăng nhập admin/vendor/user, chặn truy cập sai vai trò</t>
        </is>
      </c>
      <c r="D7" s="5" t="inlineStr">
        <is>
          <t>Văn Phú Đại</t>
        </is>
      </c>
      <c r="E7" s="4" t="inlineStr">
        <is>
          <t>🔴 Cao</t>
        </is>
      </c>
      <c r="F7" s="4" t="n">
        <v>5</v>
      </c>
      <c r="G7" s="5" t="inlineStr">
        <is>
          <t>17/03</t>
        </is>
      </c>
      <c r="H7" s="5" t="inlineStr">
        <is>
          <t>18/03</t>
        </is>
      </c>
      <c r="I7" s="4" t="inlineStr">
        <is>
          <t>✅ Hoàn thành</t>
        </is>
      </c>
      <c r="J7" s="5" t="inlineStr">
        <is>
          <t>Đã test phân quyền cơ bản</t>
        </is>
      </c>
    </row>
    <row r="8">
      <c r="A8" s="6" t="n">
        <v>2</v>
      </c>
      <c r="B8" s="7" t="inlineStr">
        <is>
          <t>Đồng bộ reset mật khẩu OTP</t>
        </is>
      </c>
      <c r="C8" s="7" t="inlineStr">
        <is>
          <t>Thống nhất forgot_password_init, verify_reset_otp, reset_password</t>
        </is>
      </c>
      <c r="D8" s="7" t="inlineStr">
        <is>
          <t>Nguyễn Hữu Tình</t>
        </is>
      </c>
      <c r="E8" s="6" t="inlineStr">
        <is>
          <t>🟡 Trung bình</t>
        </is>
      </c>
      <c r="F8" s="6" t="n">
        <v>3</v>
      </c>
      <c r="G8" s="7" t="inlineStr">
        <is>
          <t>17/03</t>
        </is>
      </c>
      <c r="H8" s="7" t="inlineStr">
        <is>
          <t>18/03</t>
        </is>
      </c>
      <c r="I8" s="6" t="inlineStr">
        <is>
          <t>✅ Hoàn thành</t>
        </is>
      </c>
      <c r="J8" s="7" t="inlineStr">
        <is>
          <t>Đã xử lý route tương thích</t>
        </is>
      </c>
    </row>
    <row r="9">
      <c r="A9" s="4" t="n">
        <v>3</v>
      </c>
      <c r="B9" s="5" t="inlineStr">
        <is>
          <t>Validate voucher server-side</t>
        </is>
      </c>
      <c r="C9" s="5" t="inlineStr">
        <is>
          <t>Kiểm tra mã, hạn mức, trạng thái trong create_order</t>
        </is>
      </c>
      <c r="D9" s="5" t="inlineStr">
        <is>
          <t>Trần Thế Kiệt</t>
        </is>
      </c>
      <c r="E9" s="4" t="inlineStr">
        <is>
          <t>🔴 Cao</t>
        </is>
      </c>
      <c r="F9" s="4" t="n">
        <v>5</v>
      </c>
      <c r="G9" s="5" t="inlineStr">
        <is>
          <t>18/03</t>
        </is>
      </c>
      <c r="H9" s="5" t="inlineStr">
        <is>
          <t>19/03</t>
        </is>
      </c>
      <c r="I9" s="4" t="inlineStr">
        <is>
          <t>✅ Hoàn thành</t>
        </is>
      </c>
      <c r="J9" s="5" t="inlineStr">
        <is>
          <t>Đã ghi nhận usage trong transaction</t>
        </is>
      </c>
    </row>
    <row r="10">
      <c r="A10" s="6" t="n">
        <v>4</v>
      </c>
      <c r="B10" s="7" t="inlineStr">
        <is>
          <t>Theo dõi usage khuyến mãi</t>
        </is>
      </c>
      <c r="C10" s="7" t="inlineStr">
        <is>
          <t>Lưu promotion_usages và tăng used_count chính xác</t>
        </is>
      </c>
      <c r="D10" s="7" t="inlineStr">
        <is>
          <t>Trần Đình Tú</t>
        </is>
      </c>
      <c r="E10" s="6" t="inlineStr">
        <is>
          <t>🔴 Cao</t>
        </is>
      </c>
      <c r="F10" s="6" t="n">
        <v>3</v>
      </c>
      <c r="G10" s="7" t="inlineStr">
        <is>
          <t>18/03</t>
        </is>
      </c>
      <c r="H10" s="7" t="inlineStr">
        <is>
          <t>19/03</t>
        </is>
      </c>
      <c r="I10" s="6" t="inlineStr">
        <is>
          <t>✅ Hoàn thành</t>
        </is>
      </c>
      <c r="J10" s="7" t="inlineStr">
        <is>
          <t>Đã kiểm thử với nhiều user</t>
        </is>
      </c>
    </row>
    <row r="11">
      <c r="A11" s="4" t="n">
        <v>5</v>
      </c>
      <c r="B11" s="5" t="inlineStr">
        <is>
          <t>Đồng bộ trạng thái sale</t>
        </is>
      </c>
      <c r="C11" s="5" t="inlineStr">
        <is>
          <t>Tự động suy ra status từ end_date khi list/create/update</t>
        </is>
      </c>
      <c r="D11" s="5" t="inlineStr">
        <is>
          <t>Lê Vũ Hoàng</t>
        </is>
      </c>
      <c r="E11" s="4" t="inlineStr">
        <is>
          <t>🟡 Trung bình</t>
        </is>
      </c>
      <c r="F11" s="4" t="n">
        <v>3</v>
      </c>
      <c r="G11" s="5" t="inlineStr">
        <is>
          <t>18/03</t>
        </is>
      </c>
      <c r="H11" s="5" t="inlineStr">
        <is>
          <t>20/03</t>
        </is>
      </c>
      <c r="I11" s="4" t="inlineStr">
        <is>
          <t>🔄 Đang làm</t>
        </is>
      </c>
      <c r="J11" s="5" t="inlineStr">
        <is>
          <t>Còn case gia hạn campaign</t>
        </is>
      </c>
    </row>
    <row r="12">
      <c r="A12" s="6" t="n">
        <v>6</v>
      </c>
      <c r="B12" s="7" t="inlineStr">
        <is>
          <t>Tích hợp banner hero user</t>
        </is>
      </c>
      <c r="C12" s="7" t="inlineStr">
        <is>
          <t>Trộn banner hệ thống từ admin vào slider trang chủ user</t>
        </is>
      </c>
      <c r="D12" s="7" t="inlineStr">
        <is>
          <t>Lê Vũ Hoàng</t>
        </is>
      </c>
      <c r="E12" s="6" t="inlineStr">
        <is>
          <t>🟡 Trung bình</t>
        </is>
      </c>
      <c r="F12" s="6" t="n">
        <v>2</v>
      </c>
      <c r="G12" s="7" t="inlineStr">
        <is>
          <t>19/03</t>
        </is>
      </c>
      <c r="H12" s="7" t="inlineStr">
        <is>
          <t>20/03</t>
        </is>
      </c>
      <c r="I12" s="6" t="inlineStr">
        <is>
          <t>🔄 Đang làm</t>
        </is>
      </c>
      <c r="J12" s="7" t="inlineStr">
        <is>
          <t>Đã hiển thị slide mới</t>
        </is>
      </c>
    </row>
    <row r="13">
      <c r="A13" s="4" t="n">
        <v>7</v>
      </c>
      <c r="B13" s="5" t="inlineStr">
        <is>
          <t>Bắt buộc login cho cart</t>
        </is>
      </c>
      <c r="C13" s="5" t="inlineStr">
        <is>
          <t>Chặn addToCart, /cart, /checkout nếu chưa đăng nhập</t>
        </is>
      </c>
      <c r="D13" s="5" t="inlineStr">
        <is>
          <t>Trần Đình Tú</t>
        </is>
      </c>
      <c r="E13" s="4" t="inlineStr">
        <is>
          <t>🔴 Cao</t>
        </is>
      </c>
      <c r="F13" s="4" t="n">
        <v>3</v>
      </c>
      <c r="G13" s="5" t="inlineStr">
        <is>
          <t>19/03</t>
        </is>
      </c>
      <c r="H13" s="5" t="inlineStr">
        <is>
          <t>20/03</t>
        </is>
      </c>
      <c r="I13" s="4" t="inlineStr">
        <is>
          <t>✅ Hoàn thành</t>
        </is>
      </c>
      <c r="J13" s="5" t="inlineStr">
        <is>
          <t>Đã redirect kèm redirect query</t>
        </is>
      </c>
    </row>
    <row r="14">
      <c r="A14" s="6" t="n">
        <v>8</v>
      </c>
      <c r="B14" s="7" t="inlineStr">
        <is>
          <t>Notification theo account</t>
        </is>
      </c>
      <c r="C14" s="7" t="inlineStr">
        <is>
          <t>Ràng buộc key user:&lt;id&gt;, clear state khi đổi tài khoản</t>
        </is>
      </c>
      <c r="D14" s="7" t="inlineStr">
        <is>
          <t>Nguyễn Hữu Tình</t>
        </is>
      </c>
      <c r="E14" s="6" t="inlineStr">
        <is>
          <t>🟡 Trung bình</t>
        </is>
      </c>
      <c r="F14" s="6" t="n">
        <v>3</v>
      </c>
      <c r="G14" s="7" t="inlineStr">
        <is>
          <t>19/03</t>
        </is>
      </c>
      <c r="H14" s="7" t="inlineStr">
        <is>
          <t>21/03</t>
        </is>
      </c>
      <c r="I14" s="6" t="inlineStr">
        <is>
          <t>🔄 Đang làm</t>
        </is>
      </c>
      <c r="J14" s="7" t="inlineStr">
        <is>
          <t>Đang tối ưu mark-read</t>
        </is>
      </c>
    </row>
    <row r="15">
      <c r="A15" s="4" t="n">
        <v>9</v>
      </c>
      <c r="B15" s="5" t="inlineStr">
        <is>
          <t>Sửa bug fallthrough promotions</t>
        </is>
      </c>
      <c r="C15" s="5" t="inlineStr">
        <is>
          <t>Tách rõ case toggle_status và create/update</t>
        </is>
      </c>
      <c r="D15" s="5" t="inlineStr">
        <is>
          <t>Văn Phú Đại</t>
        </is>
      </c>
      <c r="E15" s="4" t="inlineStr">
        <is>
          <t>🟡 Trung bình</t>
        </is>
      </c>
      <c r="F15" s="4" t="n">
        <v>2</v>
      </c>
      <c r="G15" s="5" t="inlineStr">
        <is>
          <t>20/03</t>
        </is>
      </c>
      <c r="H15" s="5" t="inlineStr">
        <is>
          <t>21/03</t>
        </is>
      </c>
      <c r="I15" s="4" t="inlineStr">
        <is>
          <t>👀 Chờ review</t>
        </is>
      </c>
      <c r="J15" s="5" t="inlineStr">
        <is>
          <t>Chờ review backend</t>
        </is>
      </c>
    </row>
    <row r="16">
      <c r="A16" s="6" t="n">
        <v>10</v>
      </c>
      <c r="B16" s="7" t="inlineStr">
        <is>
          <t>Chuẩn hóa API_BASE frontend</t>
        </is>
      </c>
      <c r="C16" s="7" t="inlineStr">
        <is>
          <t>Dùng src/config.js và VITE_API_PROXY_TARGET cho môi trường</t>
        </is>
      </c>
      <c r="D16" s="7" t="inlineStr">
        <is>
          <t>Trần Thế Kiệt</t>
        </is>
      </c>
      <c r="E16" s="6" t="inlineStr">
        <is>
          <t>🟢 Thấp</t>
        </is>
      </c>
      <c r="F16" s="6" t="n">
        <v>1</v>
      </c>
      <c r="G16" s="7" t="inlineStr">
        <is>
          <t>20/03</t>
        </is>
      </c>
      <c r="H16" s="7" t="inlineStr">
        <is>
          <t>21/03</t>
        </is>
      </c>
      <c r="I16" s="6" t="inlineStr">
        <is>
          <t>✅ Hoàn thành</t>
        </is>
      </c>
      <c r="J16" s="7" t="inlineStr">
        <is>
          <t>Đã kiểm thử local/proxy</t>
        </is>
      </c>
    </row>
    <row r="17">
      <c r="A17" s="4" t="n">
        <v>11</v>
      </c>
      <c r="B17" s="5" t="n"/>
      <c r="C17" s="5" t="n"/>
      <c r="D17" s="5" t="n"/>
      <c r="E17" s="4" t="n"/>
      <c r="F17" s="4" t="n"/>
      <c r="G17" s="5" t="n"/>
      <c r="H17" s="5" t="n"/>
      <c r="I17" s="4" t="n"/>
      <c r="J17" s="5" t="n"/>
    </row>
    <row r="18">
      <c r="A18" s="6" t="n">
        <v>12</v>
      </c>
      <c r="B18" s="7" t="n"/>
      <c r="C18" s="7" t="n"/>
      <c r="D18" s="7" t="n"/>
      <c r="E18" s="6" t="n"/>
      <c r="F18" s="6" t="n"/>
      <c r="G18" s="7" t="n"/>
      <c r="H18" s="7" t="n"/>
      <c r="I18" s="6" t="n"/>
      <c r="J18" s="7" t="n"/>
    </row>
    <row r="19">
      <c r="A19" s="4" t="n">
        <v>13</v>
      </c>
      <c r="B19" s="5" t="n"/>
      <c r="C19" s="5" t="n"/>
      <c r="D19" s="5" t="n"/>
      <c r="E19" s="4" t="n"/>
      <c r="F19" s="4" t="n"/>
      <c r="G19" s="5" t="n"/>
      <c r="H19" s="5" t="n"/>
      <c r="I19" s="4" t="n"/>
      <c r="J19" s="5" t="n"/>
    </row>
    <row r="20">
      <c r="A20" s="6" t="n">
        <v>14</v>
      </c>
      <c r="B20" s="7" t="n"/>
      <c r="C20" s="7" t="n"/>
      <c r="D20" s="7" t="n"/>
      <c r="E20" s="6" t="n"/>
      <c r="F20" s="6" t="n"/>
      <c r="G20" s="7" t="n"/>
      <c r="H20" s="7" t="n"/>
      <c r="I20" s="6" t="n"/>
      <c r="J20" s="7" t="n"/>
    </row>
    <row r="21">
      <c r="A21" s="4" t="n">
        <v>15</v>
      </c>
      <c r="B21" s="5" t="n"/>
      <c r="C21" s="5" t="n"/>
      <c r="D21" s="5" t="n"/>
      <c r="E21" s="4" t="n"/>
      <c r="F21" s="4" t="n"/>
      <c r="G21" s="5" t="n"/>
      <c r="H21" s="5" t="n"/>
      <c r="I21" s="4" t="n"/>
      <c r="J21" s="5" t="n"/>
    </row>
    <row r="23" ht="15.6" customHeight="1" s="24">
      <c r="A23" s="20" t="inlineStr">
        <is>
          <t>📊 THỐNG KÊ NHANH</t>
        </is>
      </c>
    </row>
    <row r="24">
      <c r="A24" s="23" t="inlineStr">
        <is>
          <t>Tổng số công việc:</t>
        </is>
      </c>
      <c r="B24" s="8">
        <f>COUNTA(B7:B21)</f>
        <v/>
      </c>
      <c r="C24" s="23" t="inlineStr">
        <is>
          <t>Đã hoàn thành:</t>
        </is>
      </c>
      <c r="D24" s="8">
        <f>COUNTIF(I7:I21,"✅ Hoàn thành")</f>
        <v/>
      </c>
      <c r="E24" s="23" t="inlineStr">
        <is>
          <t>Chờ review:</t>
        </is>
      </c>
      <c r="F24" s="8">
        <f>COUNTIF(I7:I21,"👀 Chờ review")</f>
        <v/>
      </c>
      <c r="G24" s="23" t="inlineStr">
        <is>
          <t>Ưu tiên cao:</t>
        </is>
      </c>
      <c r="H24" s="8">
        <f>COUNTIF(E7:E21,"🔴 Cao")</f>
        <v/>
      </c>
    </row>
    <row r="25">
      <c r="A25" s="23" t="inlineStr">
        <is>
          <t>Tổng Story Points:</t>
        </is>
      </c>
      <c r="B25" s="8">
        <f>SUM(F7:F21)</f>
        <v/>
      </c>
      <c r="C25" s="23" t="inlineStr">
        <is>
          <t>Đang thực hiện:</t>
        </is>
      </c>
      <c r="D25" s="8">
        <f>COUNTIF(I7:I21,"🔄 Đang làm")</f>
        <v/>
      </c>
      <c r="E25" s="23" t="inlineStr">
        <is>
          <t>Bị chặn:</t>
        </is>
      </c>
      <c r="F25" s="8">
        <f>COUNTIF(I7:I21,"⚠️ Bị chặn")</f>
        <v/>
      </c>
      <c r="G25" s="23" t="inlineStr">
        <is>
          <t>Tỷ lệ hoàn thành:</t>
        </is>
      </c>
      <c r="H25" s="9">
        <f>IF(COUNTA(B7:B21)&gt;0,COUNTIF(I7:I21,"✅ Hoàn thành")/COUNTA(B7:B21),0)</f>
        <v/>
      </c>
    </row>
  </sheetData>
  <mergeCells count="8">
    <mergeCell ref="E4:F4"/>
    <mergeCell ref="A1:J1"/>
    <mergeCell ref="A23:D23"/>
    <mergeCell ref="B3:C3"/>
    <mergeCell ref="H4:J4"/>
    <mergeCell ref="H3:J3"/>
    <mergeCell ref="B4:C4"/>
    <mergeCell ref="E3:F3"/>
  </mergeCells>
  <dataValidations count="2">
    <dataValidation sqref="E7:E21" showDropDown="0" showInputMessage="0" showErrorMessage="0" allowBlank="1" error="Vui lòng chọn mức ưu tiên từ danh sách" prompt="Chọn mức ưu tiên" type="list">
      <formula1>"🔴 Cao,🟡 Trung bình,🟢 Thấp"</formula1>
      <formula2>0</formula2>
    </dataValidation>
    <dataValidation sqref="I7:I21" showDropDown="0" showInputMessage="0" showErrorMessage="0" allowBlank="1" error="Vui lòng chọn trạng thái từ danh sách" prompt="Chọn trạng thái" type="list">
      <formula1>"📋 Chưa bắt đầu,🔄 Đang làm,👀 Chờ review,✅ Hoàn thành,⚠️ Bị chặn"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zoomScaleNormal="100" workbookViewId="0">
      <selection activeCell="G19" sqref="G19"/>
    </sheetView>
  </sheetViews>
  <sheetFormatPr baseColWidth="8" defaultColWidth="8.6640625" defaultRowHeight="14.4"/>
  <cols>
    <col width="5" customWidth="1" style="24" min="1" max="1"/>
    <col width="25" customWidth="1" style="24" min="2" max="2"/>
    <col width="20" customWidth="1" style="24" min="3" max="3"/>
    <col width="12" customWidth="1" style="24" min="4" max="4"/>
    <col width="10" customWidth="1" style="24" min="5" max="5"/>
    <col width="12" customWidth="1" style="24" min="6" max="7"/>
    <col width="10" customWidth="1" style="24" min="8" max="8"/>
  </cols>
  <sheetData>
    <row r="1" ht="19.8" customHeight="1" s="24">
      <c r="A1" s="25" t="inlineStr">
        <is>
          <t>BẢNG PHÂN BỔ KHỐI LƯỢNG CÔNG VIỆC THEO THÀNH VIÊN</t>
        </is>
      </c>
    </row>
    <row r="3" ht="27.6" customHeight="1" s="24">
      <c r="A3" s="3" t="inlineStr">
        <is>
          <t>#</t>
        </is>
      </c>
      <c r="B3" s="3" t="inlineStr">
        <is>
          <t>Họ và tên</t>
        </is>
      </c>
      <c r="C3" s="3" t="inlineStr">
        <is>
          <t>Vai trò</t>
        </is>
      </c>
      <c r="D3" s="3" t="inlineStr">
        <is>
          <t>Số công việc</t>
        </is>
      </c>
      <c r="E3" s="3" t="inlineStr">
        <is>
          <t>Tổng SP</t>
        </is>
      </c>
      <c r="F3" s="3" t="inlineStr">
        <is>
          <t>Đang làm</t>
        </is>
      </c>
      <c r="G3" s="3" t="inlineStr">
        <is>
          <t>Hoàn thành</t>
        </is>
      </c>
      <c r="H3" s="3" t="inlineStr">
        <is>
          <t>Tỷ lệ %</t>
        </is>
      </c>
    </row>
    <row r="4">
      <c r="A4" s="8" t="n">
        <v>1</v>
      </c>
      <c r="B4" s="22" t="inlineStr">
        <is>
          <t>Văn Phú Đại</t>
        </is>
      </c>
      <c r="C4" s="22" t="inlineStr">
        <is>
          <t>Trưởng nhóm</t>
        </is>
      </c>
      <c r="D4" s="8">
        <f>COUNTIF('Phân công công việc'!D7:D21,B4)</f>
        <v/>
      </c>
      <c r="E4" s="8">
        <f>SUMIF('Phân công công việc'!D7:D21,B4,'Phân công công việc'!F7:F21)</f>
        <v/>
      </c>
      <c r="F4" s="8">
        <f>COUNTIFS('Phân công công việc'!D7:D21,B4,'Phân công công việc'!I7:I21,"🔄 Đang làm")</f>
        <v/>
      </c>
      <c r="G4" s="8">
        <f>COUNTIFS('Phân công công việc'!D7:D21,B4,'Phân công công việc'!I7:I21,"✅ Hoàn thành")</f>
        <v/>
      </c>
      <c r="H4" s="9">
        <f>IF(D4&gt;0,G4/D4,0)</f>
        <v/>
      </c>
    </row>
    <row r="5">
      <c r="A5" s="10" t="n">
        <v>2</v>
      </c>
      <c r="B5" s="11" t="inlineStr">
        <is>
          <t>Lê Vũ Hoàng</t>
        </is>
      </c>
      <c r="C5" s="11" t="inlineStr">
        <is>
          <t>Thành viên</t>
        </is>
      </c>
      <c r="D5" s="10">
        <f>COUNTIF('Phân công công việc'!D7:D21,B5)</f>
        <v/>
      </c>
      <c r="E5" s="10">
        <f>SUMIF('Phân công công việc'!D7:D21,B5,'Phân công công việc'!F7:F21)</f>
        <v/>
      </c>
      <c r="F5" s="10">
        <f>COUNTIFS('Phân công công việc'!D7:D21,B5,'Phân công công việc'!I7:I21,"🔄 Đang làm")</f>
        <v/>
      </c>
      <c r="G5" s="10">
        <f>COUNTIFS('Phân công công việc'!D7:D21,B5,'Phân công công việc'!I7:I21,"✅ Hoàn thành")</f>
        <v/>
      </c>
      <c r="H5" s="12">
        <f>IF(D5&gt;0,G5/D5,0)</f>
        <v/>
      </c>
    </row>
    <row r="6">
      <c r="A6" s="8" t="n">
        <v>3</v>
      </c>
      <c r="B6" s="22" t="inlineStr">
        <is>
          <t>Trần Thế Kiệt</t>
        </is>
      </c>
      <c r="C6" s="22" t="inlineStr">
        <is>
          <t>Thành viên</t>
        </is>
      </c>
      <c r="D6" s="8">
        <f>COUNTIF('Phân công công việc'!D7:D21,B6)</f>
        <v/>
      </c>
      <c r="E6" s="8">
        <f>SUMIF('Phân công công việc'!D7:D21,B6,'Phân công công việc'!F7:F21)</f>
        <v/>
      </c>
      <c r="F6" s="8">
        <f>COUNTIFS('Phân công công việc'!D7:D21,B6,'Phân công công việc'!I7:I21,"🔄 Đang làm")</f>
        <v/>
      </c>
      <c r="G6" s="8">
        <f>COUNTIFS('Phân công công việc'!D7:D21,B6,'Phân công công việc'!I7:I21,"✅ Hoàn thành")</f>
        <v/>
      </c>
      <c r="H6" s="9">
        <f>IF(D6&gt;0,G6/D6,0)</f>
        <v/>
      </c>
    </row>
    <row r="7">
      <c r="A7" s="10" t="n">
        <v>4</v>
      </c>
      <c r="B7" s="11" t="inlineStr">
        <is>
          <t>Nguyễn Hữu Tình</t>
        </is>
      </c>
      <c r="C7" s="11" t="inlineStr">
        <is>
          <t>Thành viên</t>
        </is>
      </c>
      <c r="D7" s="10">
        <f>COUNTIF('Phân công công việc'!D7:D21,B7)</f>
        <v/>
      </c>
      <c r="E7" s="10">
        <f>SUMIF('Phân công công việc'!D7:D21,B7,'Phân công công việc'!F7:F21)</f>
        <v/>
      </c>
      <c r="F7" s="10">
        <f>COUNTIFS('Phân công công việc'!D7:D21,B7,'Phân công công việc'!I7:I21,"🔄 Đang làm")</f>
        <v/>
      </c>
      <c r="G7" s="10">
        <f>COUNTIFS('Phân công công việc'!D7:D21,B7,'Phân công công việc'!I7:I21,"✅ Hoàn thành")</f>
        <v/>
      </c>
      <c r="H7" s="12">
        <f>IF(D7&gt;0,G7/D7,0)</f>
        <v/>
      </c>
    </row>
    <row r="8">
      <c r="A8" s="8" t="n">
        <v>5</v>
      </c>
      <c r="B8" s="22" t="inlineStr">
        <is>
          <t>Trần Đình Tú</t>
        </is>
      </c>
      <c r="C8" s="22" t="inlineStr">
        <is>
          <t>Thành viên</t>
        </is>
      </c>
      <c r="D8" s="8">
        <f>COUNTIF('Phân công công việc'!D7:D21,B8)</f>
        <v/>
      </c>
      <c r="E8" s="8">
        <f>SUMIF('Phân công công việc'!D7:D21,B8,'Phân công công việc'!F7:F21)</f>
        <v/>
      </c>
      <c r="F8" s="8">
        <f>COUNTIFS('Phân công công việc'!D7:D21,B8,'Phân công công việc'!I7:I21,"🔄 Đang làm")</f>
        <v/>
      </c>
      <c r="G8" s="8">
        <f>COUNTIFS('Phân công công việc'!D7:D21,B8,'Phân công công việc'!I7:I21,"✅ Hoàn thành")</f>
        <v/>
      </c>
      <c r="H8" s="9">
        <f>IF(D8&gt;0,G8/D8,0)</f>
        <v/>
      </c>
    </row>
    <row r="9">
      <c r="A9" s="26" t="inlineStr">
        <is>
          <t>TỔNG CỘNG</t>
        </is>
      </c>
      <c r="B9" s="29" t="n"/>
      <c r="C9" s="28" t="n"/>
      <c r="D9" s="13">
        <f>SUM(D4:D8)</f>
        <v/>
      </c>
      <c r="E9" s="13">
        <f>SUM(E4:E8)</f>
        <v/>
      </c>
      <c r="F9" s="13">
        <f>SUM(F4:F8)</f>
        <v/>
      </c>
      <c r="G9" s="13">
        <f>SUM(G4:G8)</f>
        <v/>
      </c>
      <c r="H9" s="14">
        <f>IF(D9&gt;0,G9/D9,0)</f>
        <v/>
      </c>
    </row>
    <row r="10" ht="15" customHeight="1" s="24"/>
    <row r="11">
      <c r="A11" s="27" t="inlineStr">
        <is>
          <t>💡 Lưu ý: Nên phân công đều Story Points cho các thành viên (chênh lệch không quá 20%)</t>
        </is>
      </c>
    </row>
  </sheetData>
  <mergeCells count="3">
    <mergeCell ref="A9:C9"/>
    <mergeCell ref="A11:H11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Normal="100" workbookViewId="0">
      <selection activeCell="G5" sqref="G5"/>
    </sheetView>
  </sheetViews>
  <sheetFormatPr baseColWidth="8" defaultColWidth="8.6640625" defaultRowHeight="14.4"/>
  <cols>
    <col width="12" customWidth="1" style="24" min="1" max="1"/>
    <col width="30" customWidth="1" style="24" min="2" max="2"/>
    <col width="12" customWidth="1" style="24" min="3" max="3"/>
    <col width="14" customWidth="1" style="24" min="4" max="4"/>
    <col width="25" customWidth="1" style="24" min="5" max="5"/>
    <col width="15" customWidth="1" style="24" min="6" max="6"/>
    <col width="25" customWidth="1" style="24" min="7" max="7"/>
  </cols>
  <sheetData>
    <row r="1" ht="19.8" customHeight="1" s="24">
      <c r="A1" s="25" t="inlineStr">
        <is>
          <t>BẢNG THEO DÕI TIẾN ĐỘ HÀNG NGÀY</t>
        </is>
      </c>
    </row>
    <row r="3" ht="27.6" customHeight="1" s="24">
      <c r="A3" s="3" t="inlineStr">
        <is>
          <t>Ngày</t>
        </is>
      </c>
      <c r="B3" s="3" t="inlineStr">
        <is>
          <t>Công việc hoàn thành</t>
        </is>
      </c>
      <c r="C3" s="3" t="inlineStr">
        <is>
          <t>SP hoàn thành</t>
        </is>
      </c>
      <c r="D3" s="3" t="inlineStr">
        <is>
          <t>Tổng SP còn lại</t>
        </is>
      </c>
      <c r="E3" s="3" t="inlineStr">
        <is>
          <t>Ghi chú / Vấn đề</t>
        </is>
      </c>
      <c r="F3" s="3" t="inlineStr">
        <is>
          <t>Người báo cáo</t>
        </is>
      </c>
      <c r="G3" s="3" t="inlineStr">
        <is>
          <t>Giải pháp</t>
        </is>
      </c>
    </row>
    <row r="4">
      <c r="A4" s="8" t="inlineStr">
        <is>
          <t>17/03/2026</t>
        </is>
      </c>
      <c r="B4" s="15" t="inlineStr">
        <is>
          <t>Hoàn tất auth đa vai trò, reset OTP</t>
        </is>
      </c>
      <c r="C4" s="8" t="n">
        <v>8</v>
      </c>
      <c r="D4" s="8" t="n">
        <v>19</v>
      </c>
      <c r="E4" s="15" t="inlineStr">
        <is>
          <t>Chưa đồng bộ hết API sale</t>
        </is>
      </c>
      <c r="F4" s="15" t="inlineStr">
        <is>
          <t>Văn Phú Đại</t>
        </is>
      </c>
      <c r="G4" s="15" t="inlineStr">
        <is>
          <t>Ưu tiên fix sale trong ngày 18/03</t>
        </is>
      </c>
    </row>
    <row r="5">
      <c r="A5" s="10" t="inlineStr">
        <is>
          <t>18/03/2026</t>
        </is>
      </c>
      <c r="B5" s="16" t="inlineStr">
        <is>
          <t>Xong validate voucher + tracking usage</t>
        </is>
      </c>
      <c r="C5" s="10" t="n">
        <v>8</v>
      </c>
      <c r="D5" s="10" t="n">
        <v>11</v>
      </c>
      <c r="E5" s="16" t="inlineStr">
        <is>
          <t>Cần test thêm case gia hạn sale</t>
        </is>
      </c>
      <c r="F5" s="16" t="inlineStr">
        <is>
          <t>Trần Thế Kiệt</t>
        </is>
      </c>
      <c r="G5" s="16" t="inlineStr">
        <is>
          <t>Bổ sung test case end_date</t>
        </is>
      </c>
    </row>
    <row r="6">
      <c r="A6" s="8" t="inlineStr">
        <is>
          <t>19/03/2026</t>
        </is>
      </c>
      <c r="B6" s="15" t="inlineStr">
        <is>
          <t>Xong login cho cart, bắt đầu banner hero</t>
        </is>
      </c>
      <c r="C6" s="8" t="n">
        <v>5</v>
      </c>
      <c r="D6" s="8" t="n">
        <v>6</v>
      </c>
      <c r="E6" s="15" t="inlineStr">
        <is>
          <t>Mark-read notification còn lỗi nhỏ</t>
        </is>
      </c>
      <c r="F6" s="15" t="inlineStr">
        <is>
          <t>Nguyễn Hữu Tình</t>
        </is>
      </c>
      <c r="G6" s="15" t="inlineStr">
        <is>
          <t>Tách key notification theo account</t>
        </is>
      </c>
    </row>
    <row r="7">
      <c r="A7" s="10" t="inlineStr">
        <is>
          <t>20/03/2026</t>
        </is>
      </c>
      <c r="B7" s="16" t="inlineStr">
        <is>
          <t>Xong API_BASE + gần xong sale status</t>
        </is>
      </c>
      <c r="C7" s="10" t="n">
        <v>4</v>
      </c>
      <c r="D7" s="10" t="n">
        <v>2</v>
      </c>
      <c r="E7" s="16" t="inlineStr">
        <is>
          <t>1 task đang chờ review</t>
        </is>
      </c>
      <c r="F7" s="16" t="inlineStr">
        <is>
          <t>Trần Đình Tú</t>
        </is>
      </c>
      <c r="G7" s="16" t="inlineStr">
        <is>
          <t>Đẩy review trong buổi chiều</t>
        </is>
      </c>
    </row>
    <row r="8">
      <c r="A8" s="8" t="inlineStr">
        <is>
          <t>21/03/2026</t>
        </is>
      </c>
      <c r="B8" s="15" t="inlineStr">
        <is>
          <t>Hoàn thiện phần còn lại và chốt regression</t>
        </is>
      </c>
      <c r="C8" s="8" t="n">
        <v>2</v>
      </c>
      <c r="D8" s="8" t="n">
        <v>0</v>
      </c>
      <c r="E8" s="15" t="inlineStr">
        <is>
          <t>Không có blocker</t>
        </is>
      </c>
      <c r="F8" s="15" t="inlineStr">
        <is>
          <t>Lê Vũ Hoàng</t>
        </is>
      </c>
      <c r="G8" s="15" t="inlineStr">
        <is>
          <t>Đóng Sprint và tổng kết</t>
        </is>
      </c>
    </row>
    <row r="9">
      <c r="A9" s="10" t="n"/>
      <c r="B9" s="16" t="n"/>
      <c r="C9" s="10" t="n"/>
      <c r="D9" s="10" t="n"/>
      <c r="E9" s="16" t="n"/>
      <c r="F9" s="16" t="n"/>
      <c r="G9" s="16" t="n"/>
    </row>
    <row r="10">
      <c r="A10" s="8" t="n"/>
      <c r="B10" s="15" t="n"/>
      <c r="C10" s="8" t="n"/>
      <c r="D10" s="8" t="n"/>
      <c r="E10" s="15" t="n"/>
      <c r="F10" s="15" t="n"/>
      <c r="G10" s="15" t="n"/>
    </row>
    <row r="11">
      <c r="A11" s="10" t="n"/>
      <c r="B11" s="16" t="n"/>
      <c r="C11" s="10" t="n"/>
      <c r="D11" s="10" t="n"/>
      <c r="E11" s="16" t="n"/>
      <c r="F11" s="16" t="n"/>
      <c r="G11" s="16" t="n"/>
    </row>
    <row r="12">
      <c r="A12" s="8" t="n"/>
      <c r="B12" s="15" t="n"/>
      <c r="C12" s="8" t="n"/>
      <c r="D12" s="8" t="n"/>
      <c r="E12" s="15" t="n"/>
      <c r="F12" s="15" t="n"/>
      <c r="G12" s="15" t="n"/>
    </row>
    <row r="13">
      <c r="A13" s="10" t="n"/>
      <c r="B13" s="16" t="n"/>
      <c r="C13" s="10" t="n"/>
      <c r="D13" s="10" t="n"/>
      <c r="E13" s="16" t="n"/>
      <c r="F13" s="16" t="n"/>
      <c r="G13" s="16" t="n"/>
    </row>
    <row r="14">
      <c r="A14" s="8" t="n"/>
      <c r="B14" s="15" t="n"/>
      <c r="C14" s="8" t="n"/>
      <c r="D14" s="8" t="n"/>
      <c r="E14" s="15" t="n"/>
      <c r="F14" s="15" t="n"/>
      <c r="G14" s="15" t="n"/>
    </row>
    <row r="15">
      <c r="A15" s="10" t="n"/>
      <c r="B15" s="16" t="n"/>
      <c r="C15" s="10" t="n"/>
      <c r="D15" s="10" t="n"/>
      <c r="E15" s="16" t="n"/>
      <c r="F15" s="16" t="n"/>
      <c r="G15" s="16" t="n"/>
    </row>
    <row r="16">
      <c r="A16" s="8" t="n"/>
      <c r="B16" s="15" t="n"/>
      <c r="C16" s="8" t="n"/>
      <c r="D16" s="8" t="n"/>
      <c r="E16" s="15" t="n"/>
      <c r="F16" s="15" t="n"/>
      <c r="G16" s="15" t="n"/>
    </row>
    <row r="17">
      <c r="A17" s="10" t="n"/>
      <c r="B17" s="16" t="n"/>
      <c r="C17" s="10" t="n"/>
      <c r="D17" s="10" t="n"/>
      <c r="E17" s="16" t="n"/>
      <c r="F17" s="16" t="n"/>
      <c r="G17" s="16" t="n"/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zoomScaleNormal="100" workbookViewId="0">
      <selection activeCell="B10" sqref="B10"/>
    </sheetView>
  </sheetViews>
  <sheetFormatPr baseColWidth="8" defaultColWidth="8.6640625" defaultRowHeight="14.4"/>
  <cols>
    <col width="30" customWidth="1" style="24" min="1" max="1"/>
    <col width="60" customWidth="1" style="24" min="2" max="2"/>
  </cols>
  <sheetData>
    <row r="1" ht="21" customHeight="1" s="24">
      <c r="A1" s="19" t="inlineStr">
        <is>
          <t>📖 HƯỚNG DẪN SỬ DỤNG BẢNG PHÂN CÔNG CÔNG VIỆC</t>
        </is>
      </c>
    </row>
    <row r="3">
      <c r="A3" s="17" t="n"/>
      <c r="B3" s="17" t="n"/>
    </row>
    <row r="4">
      <c r="A4" s="18" t="inlineStr">
        <is>
          <t>1. CÁCH ĐIỀN THÔNG TIN</t>
        </is>
      </c>
      <c r="B4" s="17" t="n"/>
    </row>
    <row r="5">
      <c r="A5" s="17" t="n"/>
      <c r="B5" s="17" t="n"/>
    </row>
    <row r="6">
      <c r="A6" s="17" t="inlineStr">
        <is>
          <t>Cột Công việc / User Story:</t>
        </is>
      </c>
      <c r="B6" s="17" t="inlineStr">
        <is>
          <t>Ghi tên công việc hoặc User Story ngắn gọn, rõ ràng</t>
        </is>
      </c>
    </row>
    <row r="7">
      <c r="A7" s="17" t="inlineStr">
        <is>
          <t>Cột Mô tả chi tiết:</t>
        </is>
      </c>
      <c r="B7" s="17" t="inlineStr">
        <is>
          <t>Mô tả cụ thể công việc cần làm, tiêu chí hoàn thành</t>
        </is>
      </c>
    </row>
    <row r="8">
      <c r="A8" s="17" t="inlineStr">
        <is>
          <t>Cột Người thực hiện:</t>
        </is>
      </c>
      <c r="B8" s="17" t="inlineStr">
        <is>
          <t>Ghi đúng tên như trong sheet "Khối lượng thành viên"</t>
        </is>
      </c>
    </row>
    <row r="9">
      <c r="A9" s="17" t="inlineStr">
        <is>
          <t>Cột Ưu tiên:</t>
        </is>
      </c>
      <c r="B9" s="17" t="inlineStr">
        <is>
          <t>Chọn từ dropdown: 🔴 Cao, 🟡 Trung bình, 🟢 Thấp</t>
        </is>
      </c>
    </row>
    <row r="10">
      <c r="A10" s="17" t="inlineStr">
        <is>
          <t>Cột Story Points:</t>
        </is>
      </c>
      <c r="B10" s="17" t="inlineStr">
        <is>
          <t>Điểm ước tính độ phức tạp (1, 2, 3, 5, 8, 13...)</t>
        </is>
      </c>
    </row>
    <row r="11">
      <c r="A11" s="17" t="inlineStr">
        <is>
          <t>Cột Trạng thái:</t>
        </is>
      </c>
      <c r="B11" s="17" t="inlineStr">
        <is>
          <t>Chọn từ dropdown và CẬP NHẬT THƯỜNG XUYÊN</t>
        </is>
      </c>
    </row>
    <row r="12">
      <c r="A12" s="17" t="n"/>
      <c r="B12" s="17" t="n"/>
    </row>
    <row r="13">
      <c r="A13" s="18" t="inlineStr">
        <is>
          <t>2. QUY ƯỚC STORY POINTS</t>
        </is>
      </c>
      <c r="B13" s="17" t="n"/>
    </row>
    <row r="14">
      <c r="A14" s="17" t="n"/>
      <c r="B14" s="17" t="n"/>
    </row>
    <row r="15">
      <c r="A15" s="17" t="inlineStr">
        <is>
          <t>1 SP:</t>
        </is>
      </c>
      <c r="B15" s="17" t="inlineStr">
        <is>
          <t>Công việc rất đơn giản, làm trong 1-2 giờ</t>
        </is>
      </c>
    </row>
    <row r="16">
      <c r="A16" s="17" t="inlineStr">
        <is>
          <t>2 SP:</t>
        </is>
      </c>
      <c r="B16" s="17" t="inlineStr">
        <is>
          <t>Công việc đơn giản, làm trong nửa ngày</t>
        </is>
      </c>
    </row>
    <row r="17">
      <c r="A17" s="17" t="inlineStr">
        <is>
          <t>3 SP:</t>
        </is>
      </c>
      <c r="B17" s="17" t="inlineStr">
        <is>
          <t>Công việc trung bình, làm trong 1 ngày</t>
        </is>
      </c>
    </row>
    <row r="18">
      <c r="A18" s="17" t="inlineStr">
        <is>
          <t>5 SP:</t>
        </is>
      </c>
      <c r="B18" s="17" t="inlineStr">
        <is>
          <t>Công việc phức tạp, làm trong 2-3 ngày</t>
        </is>
      </c>
    </row>
    <row r="19">
      <c r="A19" s="17" t="inlineStr">
        <is>
          <t>8 SP:</t>
        </is>
      </c>
      <c r="B19" s="17" t="inlineStr">
        <is>
          <t>Công việc rất phức tạp, cần chia nhỏ</t>
        </is>
      </c>
    </row>
    <row r="20">
      <c r="A20" s="17" t="inlineStr">
        <is>
          <t>13 SP:</t>
        </is>
      </c>
      <c r="B20" s="17" t="inlineStr">
        <is>
          <t>Công việc quá lớn, BẮT BUỘC phải chia nhỏ</t>
        </is>
      </c>
    </row>
    <row r="21">
      <c r="A21" s="17" t="n"/>
      <c r="B21" s="17" t="n"/>
    </row>
    <row r="22">
      <c r="A22" s="18" t="inlineStr">
        <is>
          <t>3. QUY TẮC PHÂN CÔNG</t>
        </is>
      </c>
      <c r="B22" s="17" t="n"/>
    </row>
    <row r="23">
      <c r="A23" s="17" t="n"/>
      <c r="B23" s="17" t="n"/>
    </row>
    <row r="24">
      <c r="A24" s="17" t="inlineStr">
        <is>
          <t>Cân bằng:</t>
        </is>
      </c>
      <c r="B24" s="17" t="inlineStr">
        <is>
          <t>Mỗi thành viên nên nhận ~20-25 SP/Sprint 2 tuần</t>
        </is>
      </c>
    </row>
    <row r="25">
      <c r="A25" s="17" t="inlineStr">
        <is>
          <t>Ưu tiên cao:</t>
        </is>
      </c>
      <c r="B25" s="17" t="inlineStr">
        <is>
          <t>Phải có deadline rõ ràng và người phụ trách</t>
        </is>
      </c>
    </row>
    <row r="26">
      <c r="A26" s="17" t="inlineStr">
        <is>
          <t>Công việc bị chặn:</t>
        </is>
      </c>
      <c r="B26" s="17" t="inlineStr">
        <is>
          <t>Ghi rõ nguyên nhân trong cột Ghi chú</t>
        </is>
      </c>
    </row>
    <row r="27">
      <c r="A27" s="17" t="inlineStr">
        <is>
          <t>Pair programming:</t>
        </is>
      </c>
      <c r="B27" s="17" t="inlineStr">
        <is>
          <t>Ghi tên cả 2 người, cách nhau bằng dấu &amp;</t>
        </is>
      </c>
    </row>
    <row r="28">
      <c r="A28" s="17" t="n"/>
      <c r="B28" s="17" t="n"/>
    </row>
    <row r="29">
      <c r="A29" s="18" t="inlineStr">
        <is>
          <t>4. CẬP NHẬT HÀNG NGÀY</t>
        </is>
      </c>
      <c r="B29" s="17" t="n"/>
    </row>
    <row r="30">
      <c r="A30" s="17" t="n"/>
      <c r="B30" s="17" t="n"/>
    </row>
    <row r="31">
      <c r="A31" s="17" t="inlineStr">
        <is>
          <t>Daily Standup:</t>
        </is>
      </c>
      <c r="B31" s="17" t="inlineStr">
        <is>
          <t>Cập nhật trạng thái công việc mỗi ngày</t>
        </is>
      </c>
    </row>
    <row r="32">
      <c r="A32" s="17" t="inlineStr">
        <is>
          <t>Sheet Tiến độ:</t>
        </is>
      </c>
      <c r="B32" s="17" t="inlineStr">
        <is>
          <t>Ghi lại SP hoàn thành mỗi ngày</t>
        </is>
      </c>
    </row>
    <row r="33">
      <c r="A33" s="17" t="n"/>
      <c r="B33" s="17" t="n"/>
    </row>
    <row r="34">
      <c r="A34" s="18" t="inlineStr">
        <is>
          <t>5. MÀU SẮC TRẠNG THÁI</t>
        </is>
      </c>
      <c r="B34" s="17" t="n"/>
    </row>
    <row r="35">
      <c r="A35" s="17" t="n"/>
      <c r="B35" s="17" t="n"/>
    </row>
    <row r="36">
      <c r="A36" s="17" t="inlineStr">
        <is>
          <t>📋 Chưa bắt đầu:</t>
        </is>
      </c>
      <c r="B36" s="17" t="inlineStr">
        <is>
          <t>Công việc mới, chưa ai làm</t>
        </is>
      </c>
    </row>
    <row r="37">
      <c r="A37" s="17" t="inlineStr">
        <is>
          <t>🔄 Đang làm:</t>
        </is>
      </c>
      <c r="B37" s="17" t="inlineStr">
        <is>
          <t>Đang trong quá trình thực hiện</t>
        </is>
      </c>
    </row>
    <row r="38">
      <c r="A38" s="17" t="inlineStr">
        <is>
          <t>👀 Chờ review:</t>
        </is>
      </c>
      <c r="B38" s="17" t="inlineStr">
        <is>
          <t>Đã xong, chờ code review hoặc kiểm tra</t>
        </is>
      </c>
    </row>
    <row r="39">
      <c r="A39" s="17" t="inlineStr">
        <is>
          <t>✅ Hoàn thành:</t>
        </is>
      </c>
      <c r="B39" s="17" t="inlineStr">
        <is>
          <t>Đã hoàn thành và được chấp nhận</t>
        </is>
      </c>
    </row>
    <row r="40">
      <c r="A40" s="17" t="inlineStr">
        <is>
          <t>⚠️ Bị chặn:</t>
        </is>
      </c>
      <c r="B40" s="17" t="inlineStr">
        <is>
          <t>Không thể tiếp tục vì lý do nào đó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2026-03-17T00:45:25Z</dcterms:created>
  <dcterms:modified xmlns:dcterms="http://purl.org/dc/terms/" xmlns:xsi="http://www.w3.org/2001/XMLSchema-instance" xsi:type="dcterms:W3CDTF">2026-03-19T06:15:25Z</dcterms:modified>
  <cp:lastModifiedBy>Huutinh582 ㅤ</cp:lastModifiedBy>
  <cp:revision>0</cp:revision>
</cp:coreProperties>
</file>